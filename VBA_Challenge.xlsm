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\Desktop\Bootcamp\stock-analysis\"/>
    </mc:Choice>
  </mc:AlternateContent>
  <xr:revisionPtr revIDLastSave="0" documentId="13_ncr:1_{8A829142-8AF3-4779-9AE2-52D78BD7BD10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Pivot Table" sheetId="5" r:id="rId5"/>
  </sheets>
  <definedNames>
    <definedName name="_xlnm._FilterDatabase" localSheetId="1" hidden="1">'2018'!$A$1:$I$3013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  <c r="G9" i="5"/>
  <c r="G10" i="5"/>
  <c r="G11" i="5"/>
  <c r="G12" i="5"/>
  <c r="G13" i="5"/>
  <c r="G14" i="5"/>
  <c r="G3" i="5"/>
  <c r="K4" i="5" l="1"/>
  <c r="K5" i="5"/>
  <c r="K6" i="5"/>
  <c r="K7" i="5"/>
  <c r="K8" i="5"/>
  <c r="K9" i="5"/>
  <c r="K10" i="5"/>
  <c r="K11" i="5"/>
  <c r="K12" i="5"/>
  <c r="K13" i="5"/>
  <c r="K14" i="5"/>
  <c r="K3" i="5"/>
  <c r="C4" i="5"/>
  <c r="D4" i="5"/>
  <c r="C5" i="5"/>
  <c r="D5" i="5"/>
  <c r="C6" i="5"/>
  <c r="D6" i="5"/>
  <c r="C7" i="5"/>
  <c r="D7" i="5"/>
  <c r="C8" i="5"/>
  <c r="D8" i="5"/>
  <c r="C9" i="5"/>
  <c r="E9" i="5" s="1"/>
  <c r="D9" i="5"/>
  <c r="C10" i="5"/>
  <c r="E10" i="5" s="1"/>
  <c r="D10" i="5"/>
  <c r="C11" i="5"/>
  <c r="D11" i="5"/>
  <c r="E11" i="5" s="1"/>
  <c r="C12" i="5"/>
  <c r="E12" i="5" s="1"/>
  <c r="D12" i="5"/>
  <c r="C13" i="5"/>
  <c r="E13" i="5" s="1"/>
  <c r="D13" i="5"/>
  <c r="C14" i="5"/>
  <c r="D14" i="5"/>
  <c r="L4" i="5"/>
  <c r="M4" i="5" s="1"/>
  <c r="L5" i="5"/>
  <c r="L6" i="5"/>
  <c r="L7" i="5"/>
  <c r="L8" i="5"/>
  <c r="L9" i="5"/>
  <c r="L10" i="5"/>
  <c r="L11" i="5"/>
  <c r="L12" i="5"/>
  <c r="L13" i="5"/>
  <c r="L14" i="5"/>
  <c r="L3" i="5"/>
  <c r="D3" i="5"/>
  <c r="C3" i="5"/>
  <c r="E4" i="5"/>
  <c r="E5" i="5"/>
  <c r="E6" i="5"/>
  <c r="E7" i="5"/>
  <c r="E8" i="5"/>
  <c r="M11" i="5" l="1"/>
  <c r="M10" i="5"/>
  <c r="M7" i="5"/>
  <c r="M14" i="5"/>
  <c r="M6" i="5"/>
  <c r="M13" i="5"/>
  <c r="M5" i="5"/>
  <c r="M12" i="5"/>
  <c r="M8" i="5"/>
  <c r="M9" i="5"/>
  <c r="M3" i="5"/>
  <c r="E3" i="5"/>
  <c r="E14" i="5"/>
</calcChain>
</file>

<file path=xl/sharedStrings.xml><?xml version="1.0" encoding="utf-8"?>
<sst xmlns="http://schemas.openxmlformats.org/spreadsheetml/2006/main" count="12120" uniqueCount="532">
  <si>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</si>
  <si>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</si>
  <si>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</si>
  <si>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</si>
  <si>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</si>
  <si>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</si>
  <si>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</si>
  <si>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</si>
  <si>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</si>
  <si>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</si>
  <si>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</si>
  <si>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</si>
  <si>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</si>
  <si>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</si>
  <si>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</si>
  <si>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</si>
  <si>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</si>
  <si>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</si>
  <si>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</si>
  <si>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</si>
  <si>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</si>
  <si>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</si>
  <si>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</si>
  <si>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</si>
  <si>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</si>
  <si>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</si>
  <si>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</si>
  <si>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</si>
  <si>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</si>
  <si>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</si>
  <si>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</si>
  <si>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</si>
  <si>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</si>
  <si>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</si>
  <si>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</si>
  <si>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</si>
  <si>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</si>
  <si>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</si>
  <si>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</si>
  <si>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</si>
  <si>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</si>
  <si>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</si>
  <si>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</si>
  <si>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</si>
  <si>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</si>
  <si>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</si>
  <si>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</si>
  <si>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</si>
  <si>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</si>
  <si>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</si>
  <si>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</si>
  <si>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</si>
  <si>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</si>
  <si>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</si>
  <si>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</si>
  <si>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</si>
  <si>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</si>
  <si>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</si>
  <si>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</si>
  <si>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</si>
  <si>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</si>
  <si>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</si>
  <si>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</si>
  <si>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</si>
  <si>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</si>
  <si>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</si>
  <si>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</si>
  <si>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</si>
  <si>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</si>
  <si>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</si>
  <si>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</si>
  <si>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</si>
  <si>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</si>
  <si>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</si>
  <si>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</si>
  <si>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</si>
  <si>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</si>
  <si>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</si>
  <si>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</si>
  <si>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</si>
  <si>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</si>
  <si>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</si>
  <si>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</si>
  <si>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</si>
  <si>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</si>
  <si>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</si>
  <si>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</si>
  <si>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</si>
  <si>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</si>
  <si>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</si>
  <si>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</si>
  <si>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</si>
  <si>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</si>
  <si>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</si>
  <si>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</si>
  <si>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</si>
  <si>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</si>
  <si>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</si>
  <si>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</si>
  <si>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</si>
  <si>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</si>
  <si>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</si>
  <si>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</si>
  <si>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</si>
  <si>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</si>
  <si>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</si>
  <si>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</si>
  <si>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</si>
  <si>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</si>
  <si>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</si>
  <si>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</si>
  <si>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</si>
  <si>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</si>
  <si>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</si>
  <si>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</si>
  <si>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</si>
  <si>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</si>
  <si>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</si>
  <si>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</si>
  <si>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</si>
  <si>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</si>
  <si>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</si>
  <si>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</si>
  <si>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</si>
  <si>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</si>
  <si>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</si>
  <si>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</si>
  <si>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</si>
  <si>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</si>
  <si>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</si>
  <si>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</si>
  <si>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</si>
  <si>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</si>
  <si>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</si>
  <si>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</si>
  <si>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</si>
  <si>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</si>
  <si>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</si>
  <si>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</si>
  <si>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</si>
  <si>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</si>
  <si>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</si>
  <si>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</si>
  <si>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</si>
  <si>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</si>
  <si>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</si>
  <si>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</si>
  <si>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</si>
  <si>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</si>
  <si>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</si>
  <si>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</si>
  <si>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</si>
  <si>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</si>
  <si>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</si>
  <si>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</si>
  <si>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</si>
  <si>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</si>
  <si>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</si>
  <si>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</si>
  <si>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</si>
  <si>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</si>
  <si>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</si>
  <si>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</si>
  <si>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</si>
  <si>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</si>
  <si>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</si>
  <si>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</si>
  <si>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</si>
  <si>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</si>
  <si>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</si>
  <si>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</si>
  <si>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</si>
  <si>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</si>
  <si>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</si>
  <si>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</si>
  <si>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</si>
  <si>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</si>
  <si>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</si>
  <si>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</si>
  <si>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</si>
  <si>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</si>
  <si>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</si>
  <si>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</si>
  <si>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</si>
  <si>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</si>
  <si>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</si>
  <si>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</si>
  <si>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</si>
  <si>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</si>
  <si>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</si>
  <si>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</si>
  <si>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</si>
  <si>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</si>
  <si>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</si>
  <si>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</si>
  <si>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</si>
  <si>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</si>
  <si>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</si>
  <si>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</si>
  <si>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</si>
  <si>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</si>
  <si>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</si>
  <si>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</si>
  <si>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</si>
  <si>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</si>
  <si>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</si>
  <si>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</si>
  <si>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</si>
  <si>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</si>
  <si>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</si>
  <si>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</si>
  <si>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</si>
  <si>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</si>
  <si>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</si>
  <si>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</si>
  <si>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</si>
  <si>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</si>
  <si>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</si>
  <si>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</si>
  <si>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</si>
  <si>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</si>
  <si>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</si>
  <si>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</si>
  <si>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</si>
  <si>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</si>
  <si>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</si>
  <si>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</si>
  <si>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</si>
  <si>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</si>
  <si>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</si>
  <si>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</si>
  <si>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</si>
  <si>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</si>
  <si>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</si>
  <si>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</si>
  <si>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</si>
  <si>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</si>
  <si>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</si>
  <si>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</si>
  <si>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</si>
  <si>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</si>
  <si>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</si>
  <si>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</si>
  <si>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</si>
  <si>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</si>
  <si>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</si>
  <si>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</si>
  <si>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</si>
  <si>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</si>
  <si>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</si>
  <si>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</si>
  <si>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</si>
  <si>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</si>
  <si>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</si>
  <si>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</si>
  <si>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</si>
  <si>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</si>
  <si>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</si>
  <si>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</si>
  <si>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</si>
  <si>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</si>
  <si>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</si>
  <si>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</si>
  <si>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</si>
  <si>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</si>
  <si>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</si>
  <si>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</si>
  <si>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</si>
  <si>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</si>
  <si>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</si>
  <si>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</si>
  <si>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</si>
  <si>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</si>
  <si>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</si>
  <si>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</si>
  <si>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</si>
  <si>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</si>
  <si>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</si>
  <si>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</si>
  <si>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</si>
  <si>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</si>
  <si>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</si>
  <si>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</si>
  <si>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</si>
  <si>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</si>
  <si>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</si>
  <si>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</si>
  <si>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</si>
  <si>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</si>
  <si>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</si>
  <si>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</si>
  <si>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</si>
  <si>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</si>
  <si>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</si>
  <si>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</si>
  <si>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</si>
  <si>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</si>
  <si>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</si>
  <si>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</si>
  <si>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</si>
  <si>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</si>
  <si>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</si>
  <si>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</si>
  <si>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</si>
  <si>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</si>
  <si>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</si>
  <si>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</si>
  <si>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</si>
  <si>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</si>
  <si>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</si>
  <si>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</si>
  <si>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</si>
  <si>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</si>
  <si>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</si>
  <si>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</si>
  <si>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</si>
  <si>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</si>
  <si>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</si>
  <si>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</si>
  <si>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</si>
  <si>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</si>
  <si>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</si>
  <si>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</si>
  <si>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</si>
  <si>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</si>
  <si>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</si>
  <si>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</si>
  <si>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</si>
  <si>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</si>
  <si>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</si>
  <si>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</si>
  <si>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</si>
  <si>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</si>
  <si>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</si>
  <si>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</si>
  <si>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</si>
  <si>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</si>
  <si>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</si>
  <si>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</si>
  <si>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</si>
  <si>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</si>
  <si>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</si>
  <si>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</si>
  <si>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</si>
  <si>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</si>
  <si>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</si>
  <si>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</si>
  <si>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</si>
  <si>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</si>
  <si>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</si>
  <si>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</si>
  <si>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</si>
  <si>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</si>
  <si>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</si>
  <si>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</si>
  <si>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</si>
  <si>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</si>
  <si>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</si>
  <si>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</si>
  <si>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</si>
  <si>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</si>
  <si>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</si>
  <si>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</si>
  <si>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</si>
  <si>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</si>
  <si>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</si>
  <si>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</si>
  <si>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</si>
  <si>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</si>
  <si>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</si>
  <si>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</si>
  <si>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</si>
  <si>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</si>
  <si>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</si>
  <si>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</si>
  <si>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</si>
  <si>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</si>
  <si>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</si>
  <si>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</si>
  <si>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</si>
  <si>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</si>
  <si>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</si>
  <si>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</si>
  <si>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</si>
  <si>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</si>
  <si>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</si>
  <si>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</si>
  <si>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</si>
  <si>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</si>
  <si>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</si>
  <si>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</si>
  <si>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</si>
  <si>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</si>
  <si>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</si>
  <si>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</si>
  <si>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</si>
  <si>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</si>
  <si>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</si>
  <si>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</si>
  <si>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</si>
  <si>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</si>
  <si>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</si>
  <si>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</si>
  <si>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</si>
  <si>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</si>
  <si>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</si>
  <si>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</si>
  <si>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</si>
  <si>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</si>
  <si>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</si>
  <si>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</si>
  <si>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</si>
  <si>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</si>
  <si>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</si>
  <si>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</si>
  <si>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</si>
  <si>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</si>
  <si>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</si>
  <si>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</si>
  <si>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</si>
  <si>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</si>
  <si>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</si>
  <si>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</si>
  <si>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</si>
  <si>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</si>
  <si>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</si>
  <si>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</si>
  <si>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</si>
  <si>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</si>
  <si>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</si>
  <si>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</si>
  <si>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</si>
  <si>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</si>
  <si>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</si>
  <si>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</si>
  <si>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</si>
  <si>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</si>
  <si>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</si>
  <si>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</si>
  <si>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</si>
  <si>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</si>
  <si>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</si>
  <si>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</si>
  <si>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</si>
  <si>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</si>
  <si>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</si>
  <si>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</si>
  <si>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</si>
  <si>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</si>
  <si>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</si>
  <si>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</si>
  <si>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</si>
  <si>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</si>
  <si>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</si>
  <si>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</si>
  <si>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</si>
  <si>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</si>
  <si>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</si>
  <si>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</si>
  <si>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</si>
  <si>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</si>
  <si>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</si>
  <si>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</si>
  <si>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</si>
  <si>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</si>
  <si>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</si>
  <si>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</si>
  <si>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</si>
  <si>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</si>
  <si>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</si>
  <si>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</si>
  <si>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</si>
  <si>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</si>
  <si>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</si>
  <si>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</si>
  <si>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</si>
  <si>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</si>
  <si>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</si>
  <si>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</si>
  <si>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</si>
  <si>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</si>
  <si>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</si>
  <si>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</si>
  <si>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</si>
  <si>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</si>
  <si>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</si>
  <si>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</si>
  <si>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</si>
  <si>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</si>
  <si>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</si>
  <si>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</si>
  <si>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</si>
  <si>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</si>
  <si>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</si>
  <si>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</si>
  <si>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</si>
  <si>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</si>
  <si>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</si>
  <si>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</si>
  <si>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</si>
  <si>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</si>
  <si>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</si>
  <si>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</si>
  <si>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</si>
  <si>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</si>
  <si>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</si>
  <si>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</si>
  <si>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</si>
  <si>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</si>
  <si>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</si>
  <si>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</si>
  <si>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</si>
  <si>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</si>
  <si>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</si>
  <si>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</si>
  <si>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</si>
  <si>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</si>
  <si>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</si>
  <si>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</si>
  <si>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</si>
  <si>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</si>
  <si>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</si>
  <si>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</si>
  <si>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</si>
  <si>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</si>
  <si>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</si>
  <si>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</si>
  <si>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</si>
  <si>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</si>
  <si>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First</t>
  </si>
  <si>
    <t>Last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</si>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</sst>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1" applyNumberFormat="1" applyFont="1"/>
    <xf numFmtId="43" fontId="0" fillId="0" borderId="0" xfId="2" applyFont="1"/>
  </cellXfs>
  <cellStyles count="3">
    <cellStyle name="Comma" xfId="2" builtinId="3"/>
    <cellStyle name="Normal" xfId="0" builtinId="0"/>
    <cellStyle name="Percent" xfId="1" builtinId="5"/>
  </cellStyles>
  <dxfs count="4"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358140</xdr:colOff>
          <xdr:row>2</xdr:row>
          <xdr:rowOff>7620</xdr:rowOff>
        </xdr:from>
        <xdr:to>
          <xdr:col>9</xdr:col>
          <xdr:colOff>30480</xdr:colOff>
          <xdr:row>4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7</xdr:row>
          <xdr:rowOff>0</xdr:rowOff>
        </xdr:from>
        <xdr:to>
          <xdr:col>9</xdr:col>
          <xdr:colOff>7620</xdr:colOff>
          <xdr:row>9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8</xdr:row>
          <xdr:rowOff>30480</xdr:rowOff>
        </xdr:from>
        <xdr:to>
          <xdr:col>7</xdr:col>
          <xdr:colOff>502920</xdr:colOff>
          <xdr:row>10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5</xdr:row>
          <xdr:rowOff>15240</xdr:rowOff>
        </xdr:from>
        <xdr:to>
          <xdr:col>7</xdr:col>
          <xdr:colOff>525780</xdr:colOff>
          <xdr:row>6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144780</xdr:colOff>
          <xdr:row>10</xdr:row>
          <xdr:rowOff>152400</xdr:rowOff>
        </xdr:from>
        <xdr:to>
          <xdr:col>7</xdr:col>
          <xdr:colOff>556260</xdr:colOff>
          <xdr:row>13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" refreshedDate="44035.929251504633" createdVersion="6" refreshedVersion="6" minRefreshableVersion="3" recordCount="3012" xr:uid="{6639CDB6-EA76-43DC-8993-17F87E104950}">
  <cacheSource type="worksheet">
    <worksheetSource ref="B1:I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" refreshedDate="44035.939411342595" createdVersion="6" refreshedVersion="6" minRefreshableVersion="3" recordCount="3012" xr:uid="{76392018-DC15-4A9D-AF07-48FC41380CCC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A3CCF-6D90-4823-82B0-C3BD31C0A8C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:B15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DF4FC7-1CC7-4A15-9650-F47F6581214D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2:J15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topLeftCell="A248" workbookViewId="0">
      <selection activeCell="G252" sqref="G252"/>
    </sheetView>
  </sheetViews>
  <sheetFormatPr defaultRowHeight="14.4" x14ac:dyDescent="0.3"/>
  <cols>
    <col min="3" max="3" width="10.33203125" bestFit="1" customWidth="1"/>
  </cols>
  <sheetData>
    <row r="1" spans="1:9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3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3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3">
      <c r="A4" s="1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3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3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3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3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3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3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3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3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3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3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3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3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3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3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3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3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3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3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3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3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3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3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3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3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3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3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3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3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3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3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3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3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3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3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3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3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3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3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3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3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3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3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3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3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3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3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3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3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3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3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3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3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3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3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3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3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3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3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3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3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3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3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3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3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3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3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3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3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3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3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3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3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3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3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3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3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3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3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3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3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3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3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3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3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3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3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3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3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3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3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3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3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3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3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3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3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3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3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3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3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3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3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3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3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3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3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3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3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3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3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3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3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3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3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3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3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3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3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3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3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3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3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3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3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3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3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3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3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3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3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3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3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3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3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3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3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3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3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3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3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3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3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3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3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3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3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3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3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3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3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3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3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3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3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3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3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3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3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3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3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3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3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3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3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3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3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3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3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3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3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3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3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3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3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3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3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3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3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3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3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3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3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3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3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3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3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3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3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3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3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3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3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3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3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3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3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3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3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3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3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3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3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3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3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3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3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3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3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3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3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3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3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3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3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3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3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3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3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3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3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3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3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3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3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3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3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3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3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3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3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3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3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3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3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3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3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3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3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3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3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3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3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3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3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3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3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3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3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3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3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3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3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3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3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3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3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3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3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3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3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3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3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3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3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3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3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3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3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3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3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3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3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3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3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3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3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3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3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3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3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3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3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3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3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3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3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3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3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3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3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3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3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3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3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3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3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3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3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3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3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3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3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3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3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3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3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3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3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3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3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3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3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3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3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3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3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3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3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3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3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3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3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3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3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3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3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3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3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3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3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3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3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3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3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3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3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3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3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3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3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3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3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3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3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3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3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3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3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3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3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3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3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3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3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3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3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3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3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3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3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3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3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3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3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3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3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3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3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3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3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3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3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3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3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3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3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3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3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3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3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3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3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3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3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3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3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3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3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3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3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3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3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3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3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3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3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3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3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3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3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3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3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3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3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3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3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3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3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3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3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3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3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3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3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3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3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3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3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3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3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3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3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3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3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3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3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3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3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3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3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3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3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3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3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3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3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3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3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3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3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3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3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3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3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3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3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3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3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3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3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3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3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3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3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3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3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3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3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3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3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3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3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3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3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3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3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3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3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3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3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3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3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3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3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3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3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3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3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3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3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3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3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3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3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3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3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3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3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3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3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3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3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3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3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3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3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3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3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3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3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3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3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3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3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3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3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3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3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3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3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3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3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3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3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3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3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3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3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3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3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3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3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3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3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3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3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3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3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3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3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3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3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3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3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3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3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3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3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3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3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3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3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3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3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3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3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3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3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3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3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3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3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3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3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3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3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3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3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3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3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3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3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3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3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3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3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3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3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3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3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3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3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3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3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3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3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3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3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3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3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3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3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3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3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3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3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3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3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3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3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3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3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3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3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3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3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3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3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3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3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3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3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3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3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3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3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3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3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3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3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3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3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3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3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3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3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3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3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3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3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3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3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3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3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3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3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3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3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3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3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3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3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3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3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3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3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3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3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3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3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3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3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3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3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3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3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3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3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3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3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3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3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3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3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3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3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3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3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3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3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3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3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3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3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3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3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3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3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3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3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3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3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3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3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3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3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3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3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3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3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3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3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3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3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3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3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3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3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3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3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3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3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3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3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3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3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3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3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3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3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3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3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3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3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3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3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3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3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3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3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3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3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3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3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3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3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3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3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3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3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3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3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3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3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3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3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3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3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3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3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3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3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3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3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3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3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3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3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3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3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3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3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3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3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3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3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3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3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3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3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3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3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3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3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3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3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3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3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3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3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3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3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3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3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3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3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3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3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3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3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3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3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3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3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3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3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3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3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3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3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3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3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3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3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3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3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3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3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3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3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3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3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3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3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3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3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3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3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3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3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3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3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3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3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3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3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3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3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3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3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3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3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3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3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3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3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3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3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3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3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3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3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3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3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3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3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3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3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3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3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3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3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3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3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3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3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3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3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3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3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3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3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3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3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3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3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3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3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3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3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3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3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3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3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3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3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3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3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3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3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3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3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3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3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3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3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3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3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3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3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3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3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3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3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3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3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3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3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3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3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3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3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3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3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3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3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3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3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3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3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3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3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3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3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3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3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3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3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3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3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3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3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3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3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3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3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3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3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3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3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3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3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3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3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3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3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3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3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3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3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3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3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3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3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3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3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3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3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3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3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3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3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3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3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3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3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3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3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3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3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3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3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3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3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3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3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3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3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3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3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3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3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3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3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3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3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3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3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3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3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3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3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3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3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3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3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3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3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3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3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3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3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3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3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3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3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3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3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3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3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3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3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3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3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3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3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3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3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3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3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3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3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3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3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3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3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3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3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3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3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3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3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3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3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3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3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3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3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3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3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3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3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3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3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3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3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3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3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3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3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3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3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3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3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3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3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3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3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3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3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3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3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3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3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3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3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3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3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3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3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3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3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3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3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3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3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3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3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3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3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3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3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3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3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3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3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3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3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3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3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3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3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3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3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3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3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3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3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3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3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3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3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3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3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3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3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3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3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3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3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3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3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3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3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3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3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3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3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3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3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3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3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3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3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3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3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3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3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3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3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3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3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3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3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3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3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3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3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3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3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3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3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3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3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3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3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3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3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3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3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3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3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3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3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3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3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3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3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3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3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3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3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3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3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3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3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3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3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3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3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3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3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3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3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3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3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3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3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3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3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3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3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3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3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3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3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3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3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3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3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3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3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3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3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3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3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3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3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3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3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3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3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3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3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3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3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3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3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3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3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3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3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3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3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3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3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3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3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3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3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3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3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3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3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3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3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3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3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3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3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3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3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3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3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3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3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3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3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3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3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3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3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3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3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3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3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3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3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3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3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3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3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3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3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3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3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3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3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3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3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3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3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3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3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3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3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3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3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3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3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3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3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3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3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3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3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3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3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3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3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3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3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3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3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3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3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3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3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3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3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3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3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3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3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3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3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3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3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3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3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3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3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3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3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3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3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3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3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3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3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3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3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3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3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3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3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3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3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3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3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3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3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3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3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3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3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3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3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3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3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3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3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3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3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3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3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3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3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3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3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3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3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3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3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3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3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3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3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3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3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3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3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3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3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3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3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3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3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3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3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3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3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3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3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3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3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3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3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3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3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3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3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3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3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3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3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3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3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3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3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3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3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3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3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3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3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3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3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3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3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3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3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3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3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3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3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3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3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3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3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3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3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3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3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3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3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3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3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3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3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3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3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3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3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3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3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3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3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3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3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3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3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3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3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3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3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3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3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3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3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3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3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3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3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3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3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3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3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3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3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3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3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3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3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3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3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3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3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3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3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3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3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3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3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3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3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3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3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3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3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3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3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3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3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3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3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3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3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3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3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3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3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3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3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3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3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3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3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3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3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3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3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3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3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3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3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3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3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3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3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3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3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3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3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3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3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3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3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3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3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3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3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3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3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3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3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3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3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3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3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3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3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3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3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3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3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3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3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3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3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3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3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3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3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3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3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3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3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3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3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3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3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3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3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3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3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3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3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3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3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3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3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3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3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3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3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3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3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3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3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3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3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3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3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3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3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3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3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3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3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3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3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3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3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3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3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3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3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3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3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3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3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3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3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3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3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3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3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3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3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3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3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3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3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3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3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3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3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3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3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3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3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3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3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3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3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3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3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3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3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3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3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3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3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3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3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3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3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3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3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3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3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3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3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3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3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3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3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3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3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3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3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3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3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3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3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3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3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3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3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3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3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3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3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3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3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3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3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3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3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3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3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3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3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3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3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3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3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3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3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3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3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3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3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3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3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3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3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3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3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3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3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3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3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3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3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3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3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3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3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3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3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3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3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3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3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3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3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3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3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3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3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3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3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3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3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3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3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3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3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3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3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3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3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3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3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3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3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3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3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3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3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3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3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3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3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3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3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3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3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3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3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3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3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3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3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3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3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3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3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3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3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3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3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3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3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3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3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3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3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3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3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3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3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3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3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3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3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3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3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3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3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3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3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3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3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3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3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3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3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3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3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3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3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3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3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3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3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3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3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3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3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3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3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3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3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3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3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3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3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3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3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3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3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3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3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3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3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3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3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3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3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3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3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3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3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3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3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3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3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3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3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3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3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3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3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3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3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3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3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3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3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3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3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3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3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3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3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3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3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3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3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3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3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3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3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3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3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3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3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3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3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3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3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3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3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3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3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3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3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3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3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3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3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3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3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3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3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3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3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3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3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3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3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3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3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3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3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3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3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3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3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3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3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3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3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3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3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3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3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3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3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3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3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3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3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3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3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3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3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3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3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3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3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3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3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3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3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3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3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3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3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3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3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3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3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3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3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3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3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3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3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3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3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3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3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3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3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3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3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3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3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3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3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3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3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3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3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3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3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3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3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3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3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3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3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3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3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3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3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3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3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3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3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3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3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3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3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3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3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3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3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3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3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3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3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3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3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3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3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3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3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3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3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3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3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3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3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3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3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3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3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3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3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3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3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3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3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3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3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3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3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3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3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3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3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3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3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3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3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3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3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3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3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3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3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3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3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3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3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3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3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3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3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3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3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3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3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3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3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3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3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3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3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3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3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3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3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3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3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3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3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3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3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3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3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3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3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3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3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3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3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3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3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3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3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3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3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3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3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3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3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3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3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3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3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3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3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3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3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3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3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3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3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3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3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3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3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3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3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3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3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3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3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3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3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3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3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3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3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3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3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3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3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3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3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3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3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3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3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3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3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3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3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3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3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3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3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3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3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3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3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3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3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3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3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3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3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3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3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3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3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3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3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3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3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3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3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3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3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3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3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3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3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3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3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3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3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3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3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3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3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3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3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3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3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3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3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3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3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3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3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3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3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3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3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3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3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3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3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3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3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3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3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3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3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3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3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3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3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3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3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3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3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3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3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3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3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3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3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3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3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3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3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3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3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3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3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3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3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3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3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3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3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3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3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3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3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3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3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3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3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3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3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3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3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3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3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3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3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3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3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3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3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3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3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3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3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3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3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3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3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3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3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3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3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3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3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3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3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3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3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3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3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3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3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3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3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3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3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3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3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3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3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3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3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3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3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3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3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3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3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3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3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3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3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3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3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3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3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3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3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3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3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3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3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3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3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3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3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3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3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3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3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3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3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3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3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3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3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3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3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3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3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3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3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3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3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3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3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3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3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3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3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3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3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3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3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3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3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3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3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3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3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3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3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3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3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3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3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3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3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3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3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3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3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3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3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3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3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3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3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3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3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3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3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3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3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3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3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3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3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3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3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3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3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3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3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3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3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3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3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3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3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3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3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3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3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3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3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3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3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3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3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3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3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3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3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3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3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3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3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3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3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3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3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3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3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3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3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3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3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3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3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3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3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3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3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3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3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3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3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3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3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3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3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3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3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3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3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3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3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3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3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3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3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3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3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3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3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3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3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3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3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3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3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3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3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3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3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3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3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3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3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3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3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3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3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3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3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3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3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3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3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3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3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3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3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3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3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3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3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3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3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3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3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3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3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3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3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3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3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3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3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3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3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3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3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3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3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3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3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3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3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3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3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3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3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3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3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3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3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3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3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3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3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3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3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3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3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3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3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3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3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3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3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3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3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3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3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3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3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3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3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3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3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3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3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3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3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3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3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3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3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3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3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3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3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3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3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3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3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3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3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3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3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3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3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3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3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3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3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3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3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3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3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3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3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3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3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3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3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3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3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3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3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3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3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3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3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3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3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3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3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3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3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3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3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3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3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3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3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3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3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3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3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3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3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3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3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3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3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3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3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3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3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3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3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3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3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3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3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3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3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3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3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3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3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3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3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3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3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3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3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3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3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3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3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3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3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3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3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3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3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3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3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3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3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3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3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3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3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3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3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3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3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3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3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3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3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3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3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3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3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3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3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3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3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3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3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3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3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3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3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3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3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3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3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3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3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3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3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3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3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3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3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3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3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3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3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3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3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3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3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3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3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3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3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3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3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3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3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3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3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3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3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3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3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3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3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3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3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3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3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3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3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3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3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3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3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3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3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3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3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3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3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3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3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3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3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3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3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3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3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3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3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3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3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3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3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3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3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3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3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3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3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3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3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3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3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3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3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3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3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3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3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3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3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3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3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3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3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3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3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3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3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3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3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3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3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3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3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3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3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3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3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3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3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3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3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3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3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3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3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3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3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3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3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3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3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3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3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3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3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3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3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3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3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3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3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3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3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3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3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3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3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3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3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3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3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3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3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3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3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3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3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3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3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3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3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3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3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3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3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3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3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3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3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3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3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3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3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3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3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3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3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3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3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3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3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3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3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3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3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3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3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3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3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3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3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3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3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3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3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3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3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3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3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3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3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3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3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3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3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3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3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3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3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3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3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3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3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3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3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3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3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3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3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3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3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3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3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3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3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3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3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3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3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3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3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3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3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3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3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3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3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3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3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3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3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3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3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3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3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3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3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3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3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3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3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3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3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3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3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3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3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3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3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3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3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3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3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3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3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3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3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3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3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3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3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3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3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3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3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3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3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3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3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3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3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3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3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3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3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3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3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3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3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3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3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3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3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3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3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3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3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3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3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3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3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3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3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3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3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3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3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3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3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3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3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3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3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3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3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3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3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3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3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3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3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3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3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3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3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3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3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3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3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3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3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3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3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3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3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3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3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3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3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3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3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3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3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3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3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3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3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3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3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3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3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3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3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3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3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3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3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3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3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3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3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3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3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3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3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3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3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3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3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3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3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3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3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3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3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3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3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3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3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3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3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3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3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3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3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3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3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3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3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3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3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3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3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3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3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3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3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3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3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3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3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3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3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3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3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3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3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3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3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3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3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3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3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3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3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3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3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3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3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3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3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3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3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3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3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3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3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3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3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3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3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3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3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3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3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3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3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3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3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3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3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3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3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3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3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3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3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3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3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3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3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3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3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3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3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3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3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3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3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3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3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3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3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3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3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3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3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3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3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3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3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3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3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3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3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3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3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3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3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3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2" sqref="I2"/>
    </sheetView>
  </sheetViews>
  <sheetFormatPr defaultRowHeight="14.4" x14ac:dyDescent="0.3"/>
  <cols>
    <col min="3" max="3" width="10.33203125" bestFit="1" customWidth="1"/>
  </cols>
  <sheetData>
    <row r="1" spans="1:9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3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3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3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3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3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3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3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3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3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3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3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3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3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3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3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3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3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3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3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3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3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3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3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3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3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3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3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3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3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3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3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3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3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3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3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3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3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3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3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3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3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3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3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3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3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3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3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3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3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3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3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3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3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3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3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3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3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3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3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3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3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3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3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3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3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3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3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3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3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3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3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3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3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3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3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3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3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3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3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3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3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3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3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3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3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3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3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3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3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3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3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3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3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3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3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3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3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3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3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3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3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3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3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3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3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3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3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3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3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3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3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3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3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3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3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3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3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3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3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3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3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3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3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3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3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3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3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3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3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3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3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3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3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3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3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3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3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3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3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3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3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3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3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3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3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3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3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3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3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3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3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3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3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3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3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3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3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3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3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3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3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3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3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3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3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3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3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3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3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3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3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3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3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3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3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3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3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3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3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3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3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3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3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3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3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3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3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3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3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3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3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3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3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3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3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3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3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3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3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3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3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3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3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3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3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3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3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3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3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3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3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3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3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3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3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3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3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3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3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3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3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3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3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3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3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3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3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3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3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3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3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3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3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3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3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3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3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3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3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3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3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3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3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3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3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3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3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3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3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3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3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3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3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3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3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3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3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3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3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3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3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3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3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3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3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3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3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3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3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3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3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3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3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3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3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3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3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3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3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3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3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3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3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3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3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3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3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3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3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3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3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3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3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3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3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3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3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3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3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3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3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3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3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3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3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3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3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3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3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3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3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3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3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3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3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3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3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3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3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3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3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3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3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3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3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3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3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3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3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3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3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3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3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3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3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3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3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3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3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3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3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3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3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3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3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3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3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3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3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3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3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3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3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3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3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3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3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3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3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3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3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3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3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3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3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3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3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3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3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3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3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3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3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3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3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3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3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3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3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3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3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3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3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3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3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3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3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3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3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3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3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3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3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3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3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3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3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3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3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3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3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3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3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3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3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3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3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3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3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3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3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3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3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3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3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3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3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3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3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3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3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3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3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3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3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3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3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3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3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3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3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3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3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3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3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3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3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3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3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3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3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3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3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3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3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3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3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3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3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3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3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3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3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3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3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3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3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3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3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3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3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3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3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3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3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3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3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3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3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3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3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3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3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3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3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3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3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3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3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3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3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3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3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3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3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3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3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3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3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3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3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3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3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3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3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3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3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3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3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3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3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3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3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3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3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3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3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3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3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3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3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3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3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3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3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3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3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3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3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3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3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3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3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3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3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3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3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3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3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3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3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3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3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3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3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3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3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3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3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3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3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3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3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3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3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3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3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3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3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3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3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3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3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3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3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3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3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3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3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3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3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3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3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3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3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3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3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3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3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3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3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3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3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3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3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3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3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3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3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3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3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3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3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3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3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3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3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3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3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3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3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3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3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3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3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3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3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3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3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3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3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3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3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3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3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3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3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3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3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3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3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3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3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3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3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3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3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3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3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3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3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3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3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3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3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3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3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3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3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3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3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3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3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3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3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3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3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3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3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3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3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3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3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3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3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3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3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3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3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3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3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3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3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3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3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3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3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3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3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3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3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3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3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3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3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3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3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3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3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3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3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3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3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3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3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3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3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3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3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3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3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3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3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3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3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3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3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3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3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3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3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3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3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3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3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3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3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3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3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3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3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3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3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3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3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3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3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3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3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3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3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3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3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3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3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3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3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3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3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3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3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3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3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3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3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3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3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3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3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3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3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3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3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3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3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3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3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3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3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3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3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3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3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3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3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3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3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3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3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3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3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3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3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3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3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3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3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3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3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3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3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3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3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3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3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3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3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3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3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3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3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3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3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3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3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3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3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3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3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3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3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3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3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3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3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3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3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3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3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3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3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3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3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3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3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3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3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3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3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3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3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3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3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3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3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3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3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3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3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3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3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3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3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3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3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3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3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3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3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3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3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3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3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3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3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3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3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3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3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3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3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3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3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3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3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3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3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3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3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3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3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3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3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3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3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3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3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3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3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3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3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3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3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3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3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3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3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3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3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3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3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3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3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3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3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3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3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3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3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3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3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3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3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3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3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3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3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3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3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3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3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3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3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3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3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3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3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3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3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3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3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3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3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3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3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3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3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3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3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3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3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3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3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3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3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3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3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3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3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3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3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3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3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3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3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3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3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3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3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3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3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3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3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3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3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3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3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3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3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3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3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3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3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3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3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3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3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3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3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3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3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3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3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3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3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3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3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3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3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3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3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3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3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3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3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3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3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3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3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3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3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3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3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3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3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3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3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3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3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3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3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3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3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3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3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3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3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3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3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3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3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3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3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3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3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3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3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3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3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3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3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3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3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3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3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3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3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3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3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3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3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3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3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3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3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3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3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3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3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3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3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3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3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3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3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3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3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3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3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3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3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3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3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3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3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3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3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3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3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3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3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3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3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3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3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3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3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3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3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3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3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3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3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3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3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3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3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3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3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3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3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3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3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3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3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3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3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3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3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3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3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3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3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3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3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3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3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3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3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3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3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3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3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3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3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3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3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3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3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3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3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3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3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3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3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3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3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3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3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3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3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3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3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3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3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3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3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3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3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3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3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3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3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3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3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3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3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3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3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3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3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3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3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3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3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3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3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3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3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3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3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3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3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3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3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3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3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3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3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3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3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3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3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3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3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3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3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3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3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3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3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3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3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3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3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3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3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3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3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3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3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3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3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3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3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3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3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3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3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3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3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3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3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3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3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3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3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3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3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3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3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3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3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3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3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3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3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3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3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3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3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3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3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3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3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3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3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3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3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3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3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3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3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3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3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3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3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3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3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3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3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3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3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3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3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3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3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3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3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3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3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3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3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3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3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3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3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3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3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3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3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3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3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3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3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3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3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3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3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3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3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3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3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3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3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3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3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3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3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3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3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3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3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3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3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3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3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3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3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3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3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3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3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3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3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3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3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3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3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3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3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3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3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3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3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3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3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3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3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3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3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3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3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3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3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3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3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3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3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3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3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3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3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3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3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3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3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3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3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3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3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3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3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3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3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3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3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3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3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3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3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3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3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3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3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3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3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3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3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3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3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3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3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3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3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3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3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3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3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3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3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3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3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3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3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3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3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3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3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3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3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3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3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3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3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3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3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3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3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3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3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3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3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3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3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3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3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3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3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3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3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3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3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3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3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3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3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3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3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3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3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3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3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3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3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3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3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3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3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3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3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3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3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3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3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3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3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3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3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3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3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3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3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3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3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3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3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3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3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3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3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3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3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3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3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3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3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3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3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3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3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3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3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3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3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3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3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3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3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3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3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3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3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3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3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3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3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3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3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3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3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3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3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3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3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3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3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3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3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3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3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3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3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3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3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3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3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3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3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3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3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3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3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3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3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3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3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3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3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3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3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3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3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3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3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3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3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3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3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3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3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3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3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3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3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3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3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3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3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3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3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3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3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3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3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3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3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3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3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3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3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3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3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3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3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3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3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3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3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3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3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3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3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3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3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3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3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3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3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3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3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3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3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3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3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3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3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3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3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3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3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3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3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3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3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3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3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3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3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3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3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3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3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3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3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3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3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3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3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3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3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3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3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3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3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3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3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3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3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3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3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3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3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3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3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3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3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3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3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3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3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3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3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3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3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3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3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3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3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3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3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3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3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3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3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3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3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3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3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3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3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3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3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3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3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3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3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3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3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3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3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3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3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3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3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3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3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3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3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3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3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3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3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3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3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3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3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3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3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3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3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3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3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3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3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3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3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3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3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3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3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3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3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3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3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3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3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3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3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3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3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3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3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3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3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3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3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3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3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3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3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3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3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3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3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3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3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3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3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3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3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3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3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3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3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3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3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3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3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3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3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3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3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3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3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3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3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3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3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3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3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3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3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3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3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3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3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3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3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3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3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3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3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3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3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3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3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3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3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3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3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3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3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3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3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3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3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3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3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3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3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3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3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3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3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3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3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3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3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3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3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3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3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3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3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3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3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3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3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3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3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3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3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3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3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3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3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3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3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3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3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3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3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3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3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3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3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3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3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3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3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3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3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3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3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3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3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3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3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3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3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3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3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3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3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3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3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3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3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3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3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3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3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3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3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3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3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3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3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3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3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3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3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3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3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3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3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3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3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3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3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3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3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3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3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3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3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3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3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3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3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3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3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3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3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3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3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3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3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3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3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3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3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3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3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3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3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3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3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3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3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3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3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3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3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3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3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3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3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3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3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3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3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3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3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3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3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3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3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3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3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3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3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3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3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3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3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3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3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3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3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3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3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3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3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3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3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3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3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3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3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3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3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3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3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3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3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3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3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3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3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3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3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3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3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3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3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3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3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3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3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3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3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3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3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3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3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3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3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3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3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3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3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3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3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3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3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3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3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3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3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3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3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3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3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3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3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3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3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3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3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3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3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3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3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3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3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3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3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3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3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3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3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3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3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3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3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3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3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3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3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3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3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3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3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3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3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3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3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3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3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3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3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3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3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3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3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3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3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3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3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3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3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3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3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3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3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3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3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3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3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3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3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3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3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3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3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3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3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3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3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3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3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3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3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3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3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3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3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3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3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3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3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3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3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3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3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3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3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3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3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3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3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3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3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3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3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3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3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3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3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3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3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3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3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3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3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3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3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3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3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3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3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3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3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3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3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3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3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3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3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3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3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3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3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3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3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3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3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3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3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3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3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3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3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3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3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3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3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3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3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3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3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3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3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3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3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3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3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3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3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3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3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3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3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3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3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3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3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3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3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3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3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3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3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3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3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3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3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3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3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3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3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3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3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3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3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3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3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3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3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3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3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3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3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3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3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3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3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3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3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3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3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3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3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3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3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3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3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3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3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3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3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3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3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3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3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3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3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3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3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3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3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3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3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3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3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3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3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3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3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3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3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3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3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3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3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3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3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3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3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3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3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3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3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3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3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3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3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3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3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3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3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3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3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3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3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3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3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3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3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3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3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3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3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3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3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3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3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3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3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3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3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3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3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3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3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3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3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3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3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3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3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3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3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3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3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3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3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3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3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3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3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3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3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3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3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3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3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3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3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3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3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3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3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3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3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3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3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3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3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3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3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3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3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3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3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3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3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3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3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3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3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3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3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3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3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3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3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3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3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3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3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3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3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3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3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3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3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3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3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3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3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3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3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3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3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3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3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3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3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3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3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3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3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3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3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3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3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3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3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3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3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3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3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3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3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3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3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3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3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3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3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3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3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3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3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3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3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3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3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3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3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3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3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3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3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3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3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3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3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3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3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3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3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3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3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3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3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3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3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3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3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3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3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3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3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3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3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3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3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3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3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3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3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3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3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3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3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3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3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3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3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3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3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3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3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3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3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3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3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3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3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3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3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3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3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3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3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3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3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3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3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3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3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3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3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3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3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3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3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3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3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3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3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3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3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3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3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3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3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3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3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3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3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3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3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3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3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3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3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3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3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3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3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3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3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3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3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3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3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3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3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3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3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3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3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3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3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3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3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3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3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3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3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3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3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3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3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3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3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3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3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3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3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3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3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3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3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3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3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3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3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3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3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3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3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3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3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3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3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3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3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3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3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3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3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3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3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3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3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3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3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3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3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3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3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3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3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3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3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3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3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3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3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3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3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3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3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3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3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3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3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3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3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3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3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3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3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3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3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3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3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3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3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3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3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3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3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3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3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3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3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3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3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3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3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3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3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3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3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3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3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3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3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3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3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3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3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3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3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3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3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3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3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3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3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3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3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3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3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3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3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3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3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3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3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3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3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3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3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3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3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3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3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3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3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3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3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3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3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3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3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3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3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3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3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3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3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3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3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3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3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3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3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3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3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3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3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3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3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3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3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3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3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3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3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3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3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3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3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3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3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3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3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3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3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3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3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3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3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3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3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3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3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3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3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3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3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3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3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3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3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3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3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3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3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3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3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3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3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3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3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3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3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3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3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3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3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3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3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3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3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3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3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3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3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3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3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3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3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3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3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3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3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3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3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3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3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3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3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3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3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3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3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3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3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3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3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3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3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3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3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3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3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3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3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3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3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3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3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3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3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3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3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3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3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3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3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3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3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3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3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3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3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3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3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3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3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3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3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3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3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3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3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3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3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3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3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3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3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3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3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3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3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3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3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3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3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3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3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3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3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3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3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3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3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3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3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3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3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3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3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3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3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3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3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3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3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3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3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3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3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3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3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3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3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3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3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3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3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3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3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3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3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3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3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3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3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3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3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3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3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3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3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3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3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3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3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3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3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3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3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3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3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3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3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3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3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3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3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3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3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3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3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3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3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3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3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3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3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3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3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3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3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3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3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3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3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3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3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3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3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3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3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3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3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3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3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3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3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3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3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3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3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3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3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3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3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3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3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3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3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3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3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3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3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3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3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3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3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3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3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3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3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3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3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3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3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3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3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3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3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3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3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3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3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3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3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3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3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3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3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3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3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3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3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3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3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3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3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3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3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3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3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3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3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3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3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3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3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3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3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3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3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3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3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3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3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3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3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3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3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3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3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3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3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3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3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3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3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3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3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3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3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3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3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3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3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3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3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3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3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3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3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3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3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3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3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3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3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3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3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3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3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3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3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3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3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3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3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3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3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3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3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3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3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3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3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3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3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3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3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3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3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3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3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3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3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3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3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3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3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3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3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3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3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3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3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3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3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3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3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3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3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3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3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3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3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3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3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3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3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3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3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3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3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3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3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3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3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3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3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3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3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3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3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3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3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3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3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3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3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3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3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3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3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3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3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3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3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3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3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3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3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3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3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3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3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3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3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3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3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3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3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3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3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3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3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3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3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3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3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3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3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3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3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3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3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3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3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3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3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3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3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3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3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3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3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3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3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3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3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3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3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3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3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3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3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3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3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3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3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3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3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3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3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3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3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3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3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3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3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3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3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3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3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3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3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3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3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3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3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3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3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3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3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3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3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3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3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3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3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3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3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3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3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3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3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3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3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3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3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3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3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3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3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3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3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3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3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3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D195223C-1C61-4D0A-BE91-22BECBF9FBF1}">
    <sortState xmlns:xlrd2="http://schemas.microsoft.com/office/spreadsheetml/2017/richdata2" ref="A504:I754">
      <sortCondition ref="C1:C3013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19E7-C9B9-4B99-BA9B-2E2E678C6065}">
  <sheetPr codeName="Sheet3"/>
  <dimension ref="A1:C4"/>
  <sheetViews>
    <sheetView workbookViewId="0">
      <selection activeCell="H13" sqref="H13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-0.61077843663969456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358140</xdr:colOff>
                    <xdr:row>2</xdr:row>
                    <xdr:rowOff>7620</xdr:rowOff>
                  </from>
                  <to>
                    <xdr:col>9</xdr:col>
                    <xdr:colOff>30480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4</xdr:col>
                    <xdr:colOff>335280</xdr:colOff>
                    <xdr:row>7</xdr:row>
                    <xdr:rowOff>0</xdr:rowOff>
                  </from>
                  <to>
                    <xdr:col>9</xdr:col>
                    <xdr:colOff>7620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2FB8C-60D6-412C-B14D-A371C7F07F3C}">
  <sheetPr codeName="Sheet4"/>
  <dimension ref="A1:C15"/>
  <sheetViews>
    <sheetView workbookViewId="0">
      <selection activeCell="C4" sqref="C4:C15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2.6640625" bestFit="1" customWidth="1"/>
  </cols>
  <sheetData>
    <row r="1" spans="1:3" x14ac:dyDescent="0.3">
      <c r="A1" t="s">
        <v>531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136070900</v>
      </c>
      <c r="C4" s="4">
        <v>8.9368253946304321E-2</v>
      </c>
    </row>
    <row r="5" spans="1:3" x14ac:dyDescent="0.3">
      <c r="A5" t="s">
        <v>9</v>
      </c>
      <c r="B5" s="3">
        <v>310592800</v>
      </c>
      <c r="C5" s="4">
        <v>0.33070248365402222</v>
      </c>
    </row>
    <row r="6" spans="1:3" x14ac:dyDescent="0.3">
      <c r="A6" t="s">
        <v>10</v>
      </c>
      <c r="B6" s="3">
        <v>35796200</v>
      </c>
      <c r="C6" s="4">
        <v>1.9944583177566528</v>
      </c>
    </row>
    <row r="7" spans="1:3" x14ac:dyDescent="0.3">
      <c r="A7" t="s">
        <v>11</v>
      </c>
      <c r="B7" s="3">
        <v>221772100</v>
      </c>
      <c r="C7" s="4">
        <v>1.2952382564544678</v>
      </c>
    </row>
    <row r="8" spans="1:3" x14ac:dyDescent="0.3">
      <c r="A8" t="s">
        <v>12</v>
      </c>
      <c r="B8" s="3">
        <v>684181400</v>
      </c>
      <c r="C8" s="4">
        <v>1.0131185054779053</v>
      </c>
    </row>
    <row r="9" spans="1:3" x14ac:dyDescent="0.3">
      <c r="A9" t="s">
        <v>13</v>
      </c>
      <c r="B9" s="3">
        <v>80949300</v>
      </c>
      <c r="C9" s="4">
        <v>0.2583681046962738</v>
      </c>
    </row>
    <row r="10" spans="1:3" x14ac:dyDescent="0.3">
      <c r="A10" t="s">
        <v>14</v>
      </c>
      <c r="B10" s="3">
        <v>191632200</v>
      </c>
      <c r="C10" s="4">
        <v>0.53870755434036255</v>
      </c>
    </row>
    <row r="11" spans="1:3" x14ac:dyDescent="0.3">
      <c r="A11" t="s">
        <v>15</v>
      </c>
      <c r="B11" s="3">
        <v>267681300</v>
      </c>
      <c r="C11" s="4">
        <v>5.5456161499023438E-2</v>
      </c>
    </row>
    <row r="12" spans="1:3" x14ac:dyDescent="0.3">
      <c r="A12" t="s">
        <v>16</v>
      </c>
      <c r="B12" s="3">
        <v>206885200</v>
      </c>
      <c r="C12" s="4">
        <v>1.8446969985961914</v>
      </c>
    </row>
    <row r="13" spans="1:3" x14ac:dyDescent="0.3">
      <c r="A13" t="s">
        <v>17</v>
      </c>
      <c r="B13" s="3">
        <v>782187000</v>
      </c>
      <c r="C13" s="4">
        <v>0.23065699636936188</v>
      </c>
    </row>
    <row r="14" spans="1:3" x14ac:dyDescent="0.3">
      <c r="A14" t="s">
        <v>18</v>
      </c>
      <c r="B14" s="3">
        <v>139402800</v>
      </c>
      <c r="C14" s="5">
        <v>-7.2148971259593964E-2</v>
      </c>
    </row>
    <row r="15" spans="1:3" x14ac:dyDescent="0.3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144780</xdr:colOff>
                    <xdr:row>8</xdr:row>
                    <xdr:rowOff>30480</xdr:rowOff>
                  </from>
                  <to>
                    <xdr:col>7</xdr:col>
                    <xdr:colOff>502920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114300</xdr:colOff>
                    <xdr:row>5</xdr:row>
                    <xdr:rowOff>15240</xdr:rowOff>
                  </from>
                  <to>
                    <xdr:col>7</xdr:col>
                    <xdr:colOff>525780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144780</xdr:colOff>
                    <xdr:row>10</xdr:row>
                    <xdr:rowOff>152400</xdr:rowOff>
                  </from>
                  <to>
                    <xdr:col>7</xdr:col>
                    <xdr:colOff>556260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D82B-9797-4645-B206-08E38F225ECC}">
  <sheetPr codeName="Sheet5"/>
  <dimension ref="A1:M15"/>
  <sheetViews>
    <sheetView tabSelected="1" workbookViewId="0">
      <selection activeCell="H25" sqref="H25"/>
    </sheetView>
  </sheetViews>
  <sheetFormatPr defaultRowHeight="14.4" x14ac:dyDescent="0.3"/>
  <cols>
    <col min="1" max="1" width="12.5546875" bestFit="1" customWidth="1"/>
    <col min="2" max="2" width="14.109375" bestFit="1" customWidth="1"/>
    <col min="3" max="4" width="12.88671875" bestFit="1" customWidth="1"/>
    <col min="7" max="7" width="16.21875" style="10" bestFit="1" customWidth="1"/>
    <col min="9" max="9" width="12.5546875" bestFit="1" customWidth="1"/>
    <col min="10" max="10" width="14.109375" bestFit="1" customWidth="1"/>
    <col min="11" max="12" width="12.88671875" bestFit="1" customWidth="1"/>
  </cols>
  <sheetData>
    <row r="1" spans="1:13" x14ac:dyDescent="0.3">
      <c r="A1">
        <v>2017</v>
      </c>
      <c r="I1">
        <v>2018</v>
      </c>
    </row>
    <row r="2" spans="1:13" x14ac:dyDescent="0.3">
      <c r="A2" s="6" t="s">
        <v>526</v>
      </c>
      <c r="B2" t="s">
        <v>528</v>
      </c>
      <c r="C2" t="s">
        <v>529</v>
      </c>
      <c r="D2" t="s">
        <v>530</v>
      </c>
      <c r="E2" t="s">
        <v>525</v>
      </c>
      <c r="I2" s="6" t="s">
        <v>526</v>
      </c>
      <c r="J2" t="s">
        <v>528</v>
      </c>
      <c r="K2" t="s">
        <v>529</v>
      </c>
      <c r="L2" s="6" t="s">
        <v>530</v>
      </c>
      <c r="M2" s="6" t="s">
        <v>525</v>
      </c>
    </row>
    <row r="3" spans="1:13" x14ac:dyDescent="0.3">
      <c r="A3" s="7" t="s">
        <v>8</v>
      </c>
      <c r="B3" s="8">
        <v>136070900</v>
      </c>
      <c r="C3">
        <f>VLOOKUP(A3,'2017'!$B:$G,6,FALSE)</f>
        <v>19.469999000000001</v>
      </c>
      <c r="D3">
        <f>VLOOKUP(A3,'2017'!$B:$G,6,TRUE)</f>
        <v>21.209999</v>
      </c>
      <c r="E3" s="9">
        <f>(D3-C3)/C3</f>
        <v>8.9368263449833688E-2</v>
      </c>
      <c r="G3" s="10">
        <f>B3-J3</f>
        <v>52991000</v>
      </c>
      <c r="I3" s="7" t="s">
        <v>8</v>
      </c>
      <c r="J3" s="8">
        <v>83079900</v>
      </c>
      <c r="K3">
        <f>VLOOKUP(I3,'2018'!$B:$G,6,FALSE)</f>
        <v>21.139999</v>
      </c>
      <c r="L3">
        <f>VLOOKUP(I3,'2018'!$B:$G,6,TRUE)</f>
        <v>19.600000000000001</v>
      </c>
      <c r="M3" s="9">
        <f>(L3-K3)/K3</f>
        <v>-7.2847638261477596E-2</v>
      </c>
    </row>
    <row r="4" spans="1:13" x14ac:dyDescent="0.3">
      <c r="A4" s="7" t="s">
        <v>9</v>
      </c>
      <c r="B4" s="8">
        <v>310592800</v>
      </c>
      <c r="C4">
        <f>VLOOKUP(A4,'2017'!$B:$G,6,FALSE)</f>
        <v>12.67</v>
      </c>
      <c r="D4">
        <f>VLOOKUP(A4,'2017'!$B:$G,6,TRUE)</f>
        <v>16.860001</v>
      </c>
      <c r="E4" s="9">
        <f t="shared" ref="E4:E14" si="0">(D4-C4)/C4</f>
        <v>0.3307025256511445</v>
      </c>
      <c r="G4" s="10">
        <f t="shared" ref="G4:G14" si="1">B4-J4</f>
        <v>109712900</v>
      </c>
      <c r="I4" s="7" t="s">
        <v>9</v>
      </c>
      <c r="J4" s="8">
        <v>200879900</v>
      </c>
      <c r="K4">
        <f>VLOOKUP(I4,'2018'!$B:$G,6,FALSE)</f>
        <v>17.139999</v>
      </c>
      <c r="L4">
        <f>VLOOKUP(I4,'2018'!$B:$G,6,TRUE)</f>
        <v>14.34</v>
      </c>
      <c r="M4" s="9">
        <f t="shared" ref="M4:M14" si="2">(L4-K4)/K4</f>
        <v>-0.16336051128124335</v>
      </c>
    </row>
    <row r="5" spans="1:13" x14ac:dyDescent="0.3">
      <c r="A5" s="7" t="s">
        <v>10</v>
      </c>
      <c r="B5" s="8">
        <v>35796200</v>
      </c>
      <c r="C5">
        <f>VLOOKUP(A5,'2017'!$B:$G,6,FALSE)</f>
        <v>19.850000000000001</v>
      </c>
      <c r="D5">
        <f>VLOOKUP(A5,'2017'!$B:$G,6,TRUE)</f>
        <v>59.439999</v>
      </c>
      <c r="E5" s="9">
        <f t="shared" si="0"/>
        <v>1.9944583879093196</v>
      </c>
      <c r="G5" s="10">
        <f t="shared" si="1"/>
        <v>-72077700</v>
      </c>
      <c r="I5" s="7" t="s">
        <v>10</v>
      </c>
      <c r="J5" s="8">
        <v>107873900</v>
      </c>
      <c r="K5">
        <f>VLOOKUP(I5,'2018'!$B:$G,6,FALSE)</f>
        <v>62.57</v>
      </c>
      <c r="L5">
        <f>VLOOKUP(I5,'2018'!$B:$G,6,TRUE)</f>
        <v>23.4</v>
      </c>
      <c r="M5" s="9">
        <f t="shared" si="2"/>
        <v>-0.62601885887805664</v>
      </c>
    </row>
    <row r="6" spans="1:13" x14ac:dyDescent="0.3">
      <c r="A6" s="7" t="s">
        <v>11</v>
      </c>
      <c r="B6" s="8">
        <v>221772100</v>
      </c>
      <c r="C6">
        <f>VLOOKUP(A6,'2017'!$B:$G,6,FALSE)</f>
        <v>1.05</v>
      </c>
      <c r="D6">
        <f>VLOOKUP(A6,'2017'!$B:$G,6,TRUE)</f>
        <v>2.41</v>
      </c>
      <c r="E6" s="9">
        <f t="shared" si="0"/>
        <v>1.2952380952380953</v>
      </c>
      <c r="G6" s="10">
        <f t="shared" si="1"/>
        <v>-385701400</v>
      </c>
      <c r="I6" s="7" t="s">
        <v>11</v>
      </c>
      <c r="J6" s="8">
        <v>607473500</v>
      </c>
      <c r="K6">
        <f>VLOOKUP(I6,'2018'!$B:$G,6,FALSE)</f>
        <v>2.6</v>
      </c>
      <c r="L6">
        <f>VLOOKUP(I6,'2018'!$B:$G,6,TRUE)</f>
        <v>4.7300000000000004</v>
      </c>
      <c r="M6" s="9">
        <f t="shared" si="2"/>
        <v>0.81923076923076932</v>
      </c>
    </row>
    <row r="7" spans="1:13" x14ac:dyDescent="0.3">
      <c r="A7" s="7" t="s">
        <v>12</v>
      </c>
      <c r="B7" s="8">
        <v>684181400</v>
      </c>
      <c r="C7">
        <f>VLOOKUP(A7,'2017'!$B:$G,6,FALSE)</f>
        <v>33.540000999999997</v>
      </c>
      <c r="D7">
        <f>VLOOKUP(A7,'2017'!$B:$G,6,TRUE)</f>
        <v>67.519997000000004</v>
      </c>
      <c r="E7" s="9">
        <f t="shared" si="0"/>
        <v>1.0131185148145945</v>
      </c>
      <c r="G7" s="10">
        <f t="shared" si="1"/>
        <v>206067500</v>
      </c>
      <c r="I7" s="7" t="s">
        <v>12</v>
      </c>
      <c r="J7" s="8">
        <v>478113900</v>
      </c>
      <c r="K7">
        <f>VLOOKUP(I7,'2018'!$B:$G,6,FALSE)</f>
        <v>70.430000000000007</v>
      </c>
      <c r="L7">
        <f>VLOOKUP(I7,'2018'!$B:$G,6,TRUE)</f>
        <v>42.459999000000003</v>
      </c>
      <c r="M7" s="9">
        <f t="shared" si="2"/>
        <v>-0.39713191821666904</v>
      </c>
    </row>
    <row r="8" spans="1:13" x14ac:dyDescent="0.3">
      <c r="A8" s="7" t="s">
        <v>13</v>
      </c>
      <c r="B8" s="8">
        <v>80949300</v>
      </c>
      <c r="C8">
        <f>VLOOKUP(A8,'2017'!$B:$G,6,FALSE)</f>
        <v>19.120000999999998</v>
      </c>
      <c r="D8">
        <f>VLOOKUP(A8,'2017'!$B:$G,6,TRUE)</f>
        <v>24.059999000000001</v>
      </c>
      <c r="E8" s="9">
        <f t="shared" si="0"/>
        <v>0.25836808272133477</v>
      </c>
      <c r="G8" s="10">
        <f t="shared" si="1"/>
        <v>-23391300</v>
      </c>
      <c r="I8" s="7" t="s">
        <v>13</v>
      </c>
      <c r="J8" s="8">
        <v>104340600</v>
      </c>
      <c r="K8">
        <f>VLOOKUP(I8,'2018'!$B:$G,6,FALSE)</f>
        <v>24.01</v>
      </c>
      <c r="L8">
        <f>VLOOKUP(I8,'2018'!$B:$G,6,TRUE)</f>
        <v>19.049999</v>
      </c>
      <c r="M8" s="9">
        <f t="shared" si="2"/>
        <v>-0.2065806330695544</v>
      </c>
    </row>
    <row r="9" spans="1:13" x14ac:dyDescent="0.3">
      <c r="A9" s="7" t="s">
        <v>14</v>
      </c>
      <c r="B9" s="8">
        <v>191632200</v>
      </c>
      <c r="C9">
        <f>VLOOKUP(A9,'2017'!$B:$G,6,FALSE)</f>
        <v>15.63</v>
      </c>
      <c r="D9">
        <f>VLOOKUP(A9,'2017'!$B:$G,6,TRUE)</f>
        <v>24.049999</v>
      </c>
      <c r="E9" s="9">
        <f t="shared" si="0"/>
        <v>0.53870754958413303</v>
      </c>
      <c r="G9" s="10">
        <f t="shared" si="1"/>
        <v>33323200</v>
      </c>
      <c r="I9" s="7" t="s">
        <v>14</v>
      </c>
      <c r="J9" s="8">
        <v>158309000</v>
      </c>
      <c r="K9">
        <f>VLOOKUP(I9,'2018'!$B:$G,6,FALSE)</f>
        <v>25.059999000000001</v>
      </c>
      <c r="L9">
        <f>VLOOKUP(I9,'2018'!$B:$G,6,TRUE)</f>
        <v>9.89</v>
      </c>
      <c r="M9" s="9">
        <f t="shared" si="2"/>
        <v>-0.60534715105136272</v>
      </c>
    </row>
    <row r="10" spans="1:13" x14ac:dyDescent="0.3">
      <c r="A10" s="7" t="s">
        <v>15</v>
      </c>
      <c r="B10" s="8">
        <v>267681300</v>
      </c>
      <c r="C10">
        <f>VLOOKUP(A10,'2017'!$B:$G,6,FALSE)</f>
        <v>5.59</v>
      </c>
      <c r="D10">
        <f>VLOOKUP(A10,'2017'!$B:$G,6,TRUE)</f>
        <v>5.9</v>
      </c>
      <c r="E10" s="9">
        <f t="shared" si="0"/>
        <v>5.5456171735241595E-2</v>
      </c>
      <c r="G10" s="10">
        <f t="shared" si="1"/>
        <v>-235075800</v>
      </c>
      <c r="I10" s="7" t="s">
        <v>15</v>
      </c>
      <c r="J10" s="8">
        <v>502757100</v>
      </c>
      <c r="K10">
        <f>VLOOKUP(I10,'2018'!$B:$G,6,FALSE)</f>
        <v>5.92</v>
      </c>
      <c r="L10">
        <f>VLOOKUP(I10,'2018'!$B:$G,6,TRUE)</f>
        <v>10.89</v>
      </c>
      <c r="M10" s="9">
        <f t="shared" si="2"/>
        <v>0.8395270270270272</v>
      </c>
    </row>
    <row r="11" spans="1:13" x14ac:dyDescent="0.3">
      <c r="A11" s="7" t="s">
        <v>16</v>
      </c>
      <c r="B11" s="8">
        <v>206885200</v>
      </c>
      <c r="C11">
        <f>VLOOKUP(A11,'2017'!$B:$G,6,FALSE)</f>
        <v>13.2</v>
      </c>
      <c r="D11">
        <f>VLOOKUP(A11,'2017'!$B:$G,6,TRUE)</f>
        <v>37.549999</v>
      </c>
      <c r="E11" s="9">
        <f t="shared" si="0"/>
        <v>1.8446968939393942</v>
      </c>
      <c r="G11" s="10">
        <f t="shared" si="1"/>
        <v>-30327100</v>
      </c>
      <c r="I11" s="7" t="s">
        <v>16</v>
      </c>
      <c r="J11" s="8">
        <v>237212300</v>
      </c>
      <c r="K11">
        <f>VLOOKUP(I11,'2018'!$B:$G,6,FALSE)</f>
        <v>38.049999</v>
      </c>
      <c r="L11">
        <f>VLOOKUP(I11,'2018'!$B:$G,6,TRUE)</f>
        <v>35.099997999999999</v>
      </c>
      <c r="M11" s="9">
        <f t="shared" si="2"/>
        <v>-7.7529594678832983E-2</v>
      </c>
    </row>
    <row r="12" spans="1:13" x14ac:dyDescent="0.3">
      <c r="A12" s="7" t="s">
        <v>17</v>
      </c>
      <c r="B12" s="8">
        <v>782187000</v>
      </c>
      <c r="C12">
        <f>VLOOKUP(A12,'2017'!$B:$G,6,FALSE)</f>
        <v>6.85</v>
      </c>
      <c r="D12">
        <f>VLOOKUP(A12,'2017'!$B:$G,6,TRUE)</f>
        <v>8.43</v>
      </c>
      <c r="E12" s="9">
        <f t="shared" si="0"/>
        <v>0.23065693430656936</v>
      </c>
      <c r="G12" s="10">
        <f t="shared" si="1"/>
        <v>244162700</v>
      </c>
      <c r="I12" s="7" t="s">
        <v>17</v>
      </c>
      <c r="J12" s="8">
        <v>538024300</v>
      </c>
      <c r="K12">
        <f>VLOOKUP(I12,'2018'!$B:$G,6,FALSE)</f>
        <v>8.9700000000000006</v>
      </c>
      <c r="L12">
        <f>VLOOKUP(I12,'2018'!$B:$G,6,TRUE)</f>
        <v>4.97</v>
      </c>
      <c r="M12" s="9">
        <f t="shared" si="2"/>
        <v>-0.44593088071348946</v>
      </c>
    </row>
    <row r="13" spans="1:13" x14ac:dyDescent="0.3">
      <c r="A13" s="7" t="s">
        <v>18</v>
      </c>
      <c r="B13" s="8">
        <v>139402800</v>
      </c>
      <c r="C13">
        <f>VLOOKUP(A13,'2017'!$B:$G,6,FALSE)</f>
        <v>12.89</v>
      </c>
      <c r="D13">
        <f>VLOOKUP(A13,'2017'!$B:$G,6,TRUE)</f>
        <v>11.96</v>
      </c>
      <c r="E13" s="9">
        <f t="shared" si="0"/>
        <v>-7.2148952676493378E-2</v>
      </c>
      <c r="G13" s="10">
        <f t="shared" si="1"/>
        <v>-12031900</v>
      </c>
      <c r="I13" s="7" t="s">
        <v>18</v>
      </c>
      <c r="J13" s="8">
        <v>151434700</v>
      </c>
      <c r="K13">
        <f>VLOOKUP(I13,'2018'!$B:$G,6,FALSE)</f>
        <v>11.81</v>
      </c>
      <c r="L13">
        <f>VLOOKUP(I13,'2018'!$B:$G,6,TRUE)</f>
        <v>11.22</v>
      </c>
      <c r="M13" s="9">
        <f t="shared" si="2"/>
        <v>-4.9957662997459767E-2</v>
      </c>
    </row>
    <row r="14" spans="1:13" x14ac:dyDescent="0.3">
      <c r="A14" s="7" t="s">
        <v>19</v>
      </c>
      <c r="B14" s="8">
        <v>109487900</v>
      </c>
      <c r="C14">
        <f>VLOOKUP(A14,'2017'!$B:$G,6,FALSE)</f>
        <v>2.7</v>
      </c>
      <c r="D14">
        <f>VLOOKUP(A14,'2017'!$B:$G,6,TRUE)</f>
        <v>4.05</v>
      </c>
      <c r="E14" s="9">
        <f t="shared" si="0"/>
        <v>0.49999999999999983</v>
      </c>
      <c r="G14" s="10">
        <f t="shared" si="1"/>
        <v>-27051200</v>
      </c>
      <c r="I14" s="7" t="s">
        <v>19</v>
      </c>
      <c r="J14" s="8">
        <v>136539100</v>
      </c>
      <c r="K14">
        <f>VLOOKUP(I14,'2018'!$B:$G,6,FALSE)</f>
        <v>3.95</v>
      </c>
      <c r="L14">
        <f>VLOOKUP(I14,'2018'!$B:$G,6,TRUE)</f>
        <v>3.81</v>
      </c>
      <c r="M14" s="9">
        <f t="shared" si="2"/>
        <v>-3.5443037974683574E-2</v>
      </c>
    </row>
    <row r="15" spans="1:13" x14ac:dyDescent="0.3">
      <c r="A15" s="7" t="s">
        <v>527</v>
      </c>
      <c r="B15" s="8">
        <v>3166639100</v>
      </c>
      <c r="E15" s="9"/>
      <c r="I15" s="7" t="s">
        <v>527</v>
      </c>
      <c r="J15" s="8">
        <v>3306038200</v>
      </c>
      <c r="M15" s="9"/>
    </row>
  </sheetData>
  <conditionalFormatting sqref="E3:E14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M3:M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All Stocks Analysis 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</dc:creator>
  <cp:lastModifiedBy>gabri</cp:lastModifiedBy>
  <dcterms:created xsi:type="dcterms:W3CDTF">2019-05-02T20:23:55Z</dcterms:created>
  <dcterms:modified xsi:type="dcterms:W3CDTF">2020-07-24T02:44:24Z</dcterms:modified>
</cp:coreProperties>
</file>